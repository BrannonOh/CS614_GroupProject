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n\OneDrive\Desktop\CS614_GroupProject\"/>
    </mc:Choice>
  </mc:AlternateContent>
  <xr:revisionPtr revIDLastSave="0" documentId="13_ncr:1_{D0935827-E627-4784-8F13-804E7349F75D}" xr6:coauthVersionLast="47" xr6:coauthVersionMax="47" xr10:uidLastSave="{00000000-0000-0000-0000-000000000000}"/>
  <bookViews>
    <workbookView xWindow="-105" yWindow="0" windowWidth="19410" windowHeight="15585" activeTab="1" xr2:uid="{7E1DB2E1-ADCC-46F1-9F0F-E353445E078F}"/>
  </bookViews>
  <sheets>
    <sheet name="Prompt 1" sheetId="1" r:id="rId1"/>
    <sheet name="Promp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2" l="1"/>
  <c r="K23" i="2"/>
  <c r="J23" i="2"/>
  <c r="I23" i="2"/>
  <c r="H23" i="2"/>
  <c r="G23" i="2"/>
  <c r="F23" i="2"/>
  <c r="E23" i="2"/>
  <c r="K18" i="2"/>
  <c r="J18" i="2"/>
  <c r="I18" i="2"/>
  <c r="H18" i="2"/>
  <c r="G18" i="2"/>
  <c r="F18" i="2"/>
  <c r="E18" i="2"/>
  <c r="J10" i="2"/>
  <c r="I10" i="2"/>
  <c r="H10" i="2"/>
  <c r="G10" i="2"/>
  <c r="F10" i="2"/>
  <c r="E10" i="2"/>
  <c r="K10" i="2" s="1"/>
  <c r="J5" i="2"/>
  <c r="I5" i="2"/>
  <c r="H5" i="2"/>
  <c r="G5" i="2"/>
  <c r="F5" i="2"/>
  <c r="E5" i="2"/>
  <c r="K5" i="2" s="1"/>
  <c r="M12" i="2" s="1"/>
  <c r="O37" i="1"/>
  <c r="J23" i="1"/>
  <c r="I23" i="1"/>
  <c r="H23" i="1"/>
  <c r="G23" i="1"/>
  <c r="F23" i="1"/>
  <c r="E23" i="1"/>
  <c r="J18" i="1"/>
  <c r="I18" i="1"/>
  <c r="H18" i="1"/>
  <c r="G18" i="1"/>
  <c r="F18" i="1"/>
  <c r="E18" i="1"/>
  <c r="J36" i="1"/>
  <c r="I36" i="1"/>
  <c r="H36" i="1"/>
  <c r="G36" i="1"/>
  <c r="F36" i="1"/>
  <c r="E36" i="1"/>
  <c r="J31" i="1"/>
  <c r="I31" i="1"/>
  <c r="H31" i="1"/>
  <c r="G31" i="1"/>
  <c r="F31" i="1"/>
  <c r="E31" i="1"/>
  <c r="J10" i="1"/>
  <c r="I10" i="1"/>
  <c r="H10" i="1"/>
  <c r="G10" i="1"/>
  <c r="F10" i="1"/>
  <c r="E10" i="1"/>
  <c r="J5" i="1"/>
  <c r="I5" i="1"/>
  <c r="H5" i="1"/>
  <c r="G5" i="1"/>
  <c r="F5" i="1"/>
  <c r="E5" i="1"/>
  <c r="K18" i="1" l="1"/>
  <c r="K36" i="1"/>
  <c r="K23" i="1"/>
  <c r="M25" i="1"/>
  <c r="K31" i="1"/>
  <c r="M38" i="1" s="1"/>
  <c r="K5" i="1"/>
  <c r="K10" i="1"/>
  <c r="M12" i="1" l="1"/>
</calcChain>
</file>

<file path=xl/sharedStrings.xml><?xml version="1.0" encoding="utf-8"?>
<sst xmlns="http://schemas.openxmlformats.org/spreadsheetml/2006/main" count="151" uniqueCount="19">
  <si>
    <t>Prompt_id</t>
  </si>
  <si>
    <t>Run_id</t>
  </si>
  <si>
    <t>Workflow</t>
  </si>
  <si>
    <t>Judge</t>
  </si>
  <si>
    <t>Criterion_1</t>
  </si>
  <si>
    <t>Criterion_2</t>
  </si>
  <si>
    <t>Criterion_3</t>
  </si>
  <si>
    <t>Criterion_4</t>
  </si>
  <si>
    <t>Criterion_5</t>
  </si>
  <si>
    <t>Criterion_6</t>
  </si>
  <si>
    <t>total</t>
  </si>
  <si>
    <t>P1</t>
  </si>
  <si>
    <t>Baseline</t>
  </si>
  <si>
    <t>A</t>
  </si>
  <si>
    <t>B</t>
  </si>
  <si>
    <t xml:space="preserve">Final Avg Total: </t>
  </si>
  <si>
    <t>Improved</t>
  </si>
  <si>
    <t>After removing Content_Agent_Baseline: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</si>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</sst>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" fontId="0" fillId="0" borderId="0" xfId="0" applyNumberFormat="1"/>
    <xf numFmtId="172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597C-8277-4AF1-A173-3069A3A01ECF}">
  <dimension ref="A1:O38"/>
  <sheetViews>
    <sheetView workbookViewId="0">
      <selection activeCell="L12" sqref="L12:M12"/>
    </sheetView>
  </sheetViews>
  <sheetFormatPr defaultRowHeight="15" x14ac:dyDescent="0.25"/>
  <cols>
    <col min="3" max="3" width="9.85546875" bestFit="1" customWidth="1"/>
    <col min="12" max="12" width="14.85546875" bestFit="1" customWidth="1"/>
    <col min="13" max="13" width="5.5703125" bestFit="1" customWidth="1"/>
    <col min="14" max="14" width="4.5703125" bestFit="1" customWidth="1"/>
  </cols>
  <sheetData>
    <row r="1" spans="1:1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ht="15.75" thickBot="1" x14ac:dyDescent="0.3">
      <c r="A2" s="2" t="s">
        <v>11</v>
      </c>
      <c r="B2" s="2">
        <v>1</v>
      </c>
      <c r="C2" s="2" t="s">
        <v>12</v>
      </c>
      <c r="D2" s="2" t="s">
        <v>13</v>
      </c>
      <c r="E2" s="2">
        <v>4</v>
      </c>
      <c r="F2" s="2">
        <v>4</v>
      </c>
      <c r="G2" s="2">
        <v>3</v>
      </c>
      <c r="H2" s="2">
        <v>4</v>
      </c>
      <c r="I2" s="2">
        <v>3</v>
      </c>
      <c r="J2" s="2">
        <v>2</v>
      </c>
      <c r="K2" s="2">
        <v>20</v>
      </c>
      <c r="N2" s="4"/>
    </row>
    <row r="3" spans="1:14" ht="15.75" thickBot="1" x14ac:dyDescent="0.3">
      <c r="A3" s="2" t="s">
        <v>11</v>
      </c>
      <c r="B3" s="2">
        <v>2</v>
      </c>
      <c r="C3" s="2" t="s">
        <v>12</v>
      </c>
      <c r="D3" s="2" t="s">
        <v>13</v>
      </c>
      <c r="E3" s="2">
        <v>3</v>
      </c>
      <c r="F3" s="2">
        <v>4</v>
      </c>
      <c r="G3" s="2">
        <v>3</v>
      </c>
      <c r="H3" s="2">
        <v>4</v>
      </c>
      <c r="I3" s="2">
        <v>3</v>
      </c>
      <c r="J3" s="2">
        <v>2</v>
      </c>
      <c r="K3" s="2">
        <v>19</v>
      </c>
    </row>
    <row r="4" spans="1:14" ht="15.75" thickBot="1" x14ac:dyDescent="0.3">
      <c r="A4" s="2" t="s">
        <v>11</v>
      </c>
      <c r="B4" s="2">
        <v>3</v>
      </c>
      <c r="C4" s="2" t="s">
        <v>12</v>
      </c>
      <c r="D4" s="2" t="s">
        <v>13</v>
      </c>
      <c r="E4" s="2">
        <v>4</v>
      </c>
      <c r="F4" s="2">
        <v>4</v>
      </c>
      <c r="G4" s="2">
        <v>3</v>
      </c>
      <c r="H4" s="2">
        <v>4</v>
      </c>
      <c r="I4" s="2">
        <v>3</v>
      </c>
      <c r="J4" s="2">
        <v>2</v>
      </c>
      <c r="K4" s="2">
        <v>20</v>
      </c>
    </row>
    <row r="5" spans="1:14" x14ac:dyDescent="0.25">
      <c r="E5" s="3">
        <f>AVERAGE(E2:E4)</f>
        <v>3.6666666666666665</v>
      </c>
      <c r="F5" s="3">
        <f>AVERAGE(F2:F4)</f>
        <v>4</v>
      </c>
      <c r="G5" s="3">
        <f>AVERAGE(G2:G4)</f>
        <v>3</v>
      </c>
      <c r="H5" s="3">
        <f>AVERAGE(H2:H4)</f>
        <v>4</v>
      </c>
      <c r="I5" s="3">
        <f>AVERAGE(I2:I4)</f>
        <v>3</v>
      </c>
      <c r="J5" s="3">
        <f>AVERAGE(J2:J4)</f>
        <v>2</v>
      </c>
      <c r="K5" s="3">
        <f>SUM(E5:J5)</f>
        <v>19.666666666666664</v>
      </c>
    </row>
    <row r="6" spans="1:14" ht="15.75" thickBot="1" x14ac:dyDescent="0.3"/>
    <row r="7" spans="1:14" ht="15.75" thickBot="1" x14ac:dyDescent="0.3">
      <c r="A7" s="2" t="s">
        <v>11</v>
      </c>
      <c r="B7" s="2">
        <v>1</v>
      </c>
      <c r="C7" s="2" t="s">
        <v>12</v>
      </c>
      <c r="D7" s="2" t="s">
        <v>14</v>
      </c>
      <c r="E7" s="2">
        <v>3</v>
      </c>
      <c r="F7" s="2">
        <v>5</v>
      </c>
      <c r="G7" s="2">
        <v>5</v>
      </c>
      <c r="H7" s="2">
        <v>5</v>
      </c>
      <c r="I7" s="2">
        <v>3</v>
      </c>
      <c r="J7" s="2">
        <v>1</v>
      </c>
      <c r="K7" s="2">
        <v>22</v>
      </c>
    </row>
    <row r="8" spans="1:14" ht="15.75" thickBot="1" x14ac:dyDescent="0.3">
      <c r="A8" s="2" t="s">
        <v>11</v>
      </c>
      <c r="B8" s="2">
        <v>2</v>
      </c>
      <c r="C8" s="2" t="s">
        <v>12</v>
      </c>
      <c r="D8" s="2" t="s">
        <v>14</v>
      </c>
      <c r="E8" s="2">
        <v>5</v>
      </c>
      <c r="F8" s="2">
        <v>5</v>
      </c>
      <c r="G8" s="2">
        <v>5</v>
      </c>
      <c r="H8" s="2">
        <v>4</v>
      </c>
      <c r="I8" s="2">
        <v>3</v>
      </c>
      <c r="J8" s="2">
        <v>1</v>
      </c>
      <c r="K8" s="2">
        <v>23</v>
      </c>
    </row>
    <row r="9" spans="1:14" ht="15.75" thickBot="1" x14ac:dyDescent="0.3">
      <c r="A9" s="2" t="s">
        <v>11</v>
      </c>
      <c r="B9" s="2">
        <v>3</v>
      </c>
      <c r="C9" s="2" t="s">
        <v>12</v>
      </c>
      <c r="D9" s="2" t="s">
        <v>14</v>
      </c>
      <c r="E9" s="2">
        <v>5</v>
      </c>
      <c r="F9" s="2">
        <v>5</v>
      </c>
      <c r="G9" s="2">
        <v>4</v>
      </c>
      <c r="H9" s="2">
        <v>5</v>
      </c>
      <c r="I9" s="2">
        <v>4</v>
      </c>
      <c r="J9" s="2">
        <v>1</v>
      </c>
      <c r="K9" s="2">
        <v>24</v>
      </c>
    </row>
    <row r="10" spans="1:14" x14ac:dyDescent="0.25">
      <c r="E10" s="3">
        <f>AVERAGE(E7:E9)</f>
        <v>4.333333333333333</v>
      </c>
      <c r="F10" s="3">
        <f>AVERAGE(F7:F9)</f>
        <v>5</v>
      </c>
      <c r="G10" s="3">
        <f>AVERAGE(G7:G9)</f>
        <v>4.666666666666667</v>
      </c>
      <c r="H10" s="3">
        <f>AVERAGE(H7:H9)</f>
        <v>4.666666666666667</v>
      </c>
      <c r="I10" s="3">
        <f>AVERAGE(I7:I9)</f>
        <v>3.3333333333333335</v>
      </c>
      <c r="J10" s="3">
        <f>AVERAGE(J7:J9)</f>
        <v>1</v>
      </c>
      <c r="K10" s="3">
        <f>SUM(E10:J10)</f>
        <v>23</v>
      </c>
    </row>
    <row r="12" spans="1:14" x14ac:dyDescent="0.25">
      <c r="L12" t="s">
        <v>15</v>
      </c>
      <c r="M12" s="3">
        <f>(K5+K10)/2</f>
        <v>21.333333333333332</v>
      </c>
    </row>
    <row r="13" spans="1:14" ht="15.75" thickBot="1" x14ac:dyDescent="0.3">
      <c r="A13" s="6" t="s">
        <v>17</v>
      </c>
      <c r="B13" s="5"/>
      <c r="C13" s="5"/>
      <c r="D13" s="5"/>
    </row>
    <row r="14" spans="1:14" ht="30.75" thickBot="1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</row>
    <row r="15" spans="1:14" ht="15.75" thickBot="1" x14ac:dyDescent="0.3">
      <c r="A15" s="2" t="s">
        <v>11</v>
      </c>
      <c r="B15" s="2">
        <v>1</v>
      </c>
      <c r="C15" s="2" t="s">
        <v>12</v>
      </c>
      <c r="D15" s="2" t="s">
        <v>13</v>
      </c>
      <c r="E15" s="2">
        <v>3</v>
      </c>
      <c r="F15" s="2">
        <v>3</v>
      </c>
      <c r="G15" s="2">
        <v>3</v>
      </c>
      <c r="H15" s="2">
        <v>4</v>
      </c>
      <c r="I15" s="2">
        <v>2</v>
      </c>
      <c r="J15" s="2">
        <v>2</v>
      </c>
      <c r="K15" s="2">
        <v>17</v>
      </c>
    </row>
    <row r="16" spans="1:14" ht="15.75" thickBot="1" x14ac:dyDescent="0.3">
      <c r="A16" s="2" t="s">
        <v>11</v>
      </c>
      <c r="B16" s="2">
        <v>2</v>
      </c>
      <c r="C16" s="2" t="s">
        <v>12</v>
      </c>
      <c r="D16" s="2" t="s">
        <v>13</v>
      </c>
      <c r="E16" s="2">
        <v>3</v>
      </c>
      <c r="F16" s="2">
        <v>3</v>
      </c>
      <c r="G16" s="2">
        <v>3</v>
      </c>
      <c r="H16" s="2">
        <v>4</v>
      </c>
      <c r="I16" s="2">
        <v>2</v>
      </c>
      <c r="J16" s="2">
        <v>2</v>
      </c>
      <c r="K16" s="2">
        <v>17</v>
      </c>
    </row>
    <row r="17" spans="1:13" ht="15.75" thickBot="1" x14ac:dyDescent="0.3">
      <c r="A17" s="2" t="s">
        <v>11</v>
      </c>
      <c r="B17" s="2">
        <v>3</v>
      </c>
      <c r="C17" s="2" t="s">
        <v>12</v>
      </c>
      <c r="D17" s="2" t="s">
        <v>13</v>
      </c>
      <c r="E17" s="2">
        <v>3</v>
      </c>
      <c r="F17" s="2">
        <v>3</v>
      </c>
      <c r="G17" s="2">
        <v>3</v>
      </c>
      <c r="H17" s="2">
        <v>4</v>
      </c>
      <c r="I17" s="2">
        <v>2</v>
      </c>
      <c r="J17" s="2">
        <v>2</v>
      </c>
      <c r="K17" s="2">
        <v>17</v>
      </c>
    </row>
    <row r="18" spans="1:13" x14ac:dyDescent="0.25">
      <c r="E18" s="3">
        <f>AVERAGE(E15:E17)</f>
        <v>3</v>
      </c>
      <c r="F18" s="3">
        <f>AVERAGE(F15:F17)</f>
        <v>3</v>
      </c>
      <c r="G18" s="3">
        <f>AVERAGE(G15:G17)</f>
        <v>3</v>
      </c>
      <c r="H18" s="3">
        <f>AVERAGE(H15:H17)</f>
        <v>4</v>
      </c>
      <c r="I18" s="3">
        <f>AVERAGE(I15:I17)</f>
        <v>2</v>
      </c>
      <c r="J18" s="3">
        <f>AVERAGE(J15:J17)</f>
        <v>2</v>
      </c>
      <c r="K18" s="3">
        <f>SUM(E18:J18)</f>
        <v>17</v>
      </c>
    </row>
    <row r="19" spans="1:13" ht="15.75" thickBot="1" x14ac:dyDescent="0.3"/>
    <row r="20" spans="1:13" ht="15.75" thickBot="1" x14ac:dyDescent="0.3">
      <c r="A20" s="2" t="s">
        <v>11</v>
      </c>
      <c r="B20" s="2">
        <v>1</v>
      </c>
      <c r="C20" s="2" t="s">
        <v>12</v>
      </c>
      <c r="D20" s="2" t="s">
        <v>14</v>
      </c>
      <c r="E20" s="2">
        <v>4</v>
      </c>
      <c r="F20" s="2">
        <v>4</v>
      </c>
      <c r="G20" s="2">
        <v>4</v>
      </c>
      <c r="H20" s="2">
        <v>4</v>
      </c>
      <c r="I20" s="2">
        <v>3</v>
      </c>
      <c r="J20" s="2">
        <v>1</v>
      </c>
      <c r="K20" s="2">
        <v>20</v>
      </c>
    </row>
    <row r="21" spans="1:13" ht="15.75" thickBot="1" x14ac:dyDescent="0.3">
      <c r="A21" s="2" t="s">
        <v>11</v>
      </c>
      <c r="B21" s="2">
        <v>2</v>
      </c>
      <c r="C21" s="2" t="s">
        <v>12</v>
      </c>
      <c r="D21" s="2" t="s">
        <v>14</v>
      </c>
      <c r="E21" s="2">
        <v>5</v>
      </c>
      <c r="F21" s="2">
        <v>5</v>
      </c>
      <c r="G21" s="2">
        <v>4</v>
      </c>
      <c r="H21" s="2">
        <v>5</v>
      </c>
      <c r="I21" s="2">
        <v>3</v>
      </c>
      <c r="J21" s="2">
        <v>1</v>
      </c>
      <c r="K21" s="2">
        <v>23</v>
      </c>
    </row>
    <row r="22" spans="1:13" ht="15.75" thickBot="1" x14ac:dyDescent="0.3">
      <c r="A22" s="2" t="s">
        <v>11</v>
      </c>
      <c r="B22" s="2">
        <v>3</v>
      </c>
      <c r="C22" s="2" t="s">
        <v>12</v>
      </c>
      <c r="D22" s="2" t="s">
        <v>14</v>
      </c>
      <c r="E22" s="2">
        <v>5</v>
      </c>
      <c r="F22" s="2">
        <v>5</v>
      </c>
      <c r="G22" s="2">
        <v>5</v>
      </c>
      <c r="H22" s="2">
        <v>4</v>
      </c>
      <c r="I22" s="2">
        <v>3</v>
      </c>
      <c r="J22" s="2">
        <v>1</v>
      </c>
      <c r="K22" s="2">
        <v>23</v>
      </c>
    </row>
    <row r="23" spans="1:13" x14ac:dyDescent="0.25">
      <c r="E23" s="3">
        <f>AVERAGE(E20:E22)</f>
        <v>4.666666666666667</v>
      </c>
      <c r="F23" s="3">
        <f>AVERAGE(F20:F22)</f>
        <v>4.666666666666667</v>
      </c>
      <c r="G23" s="3">
        <f>AVERAGE(G20:G22)</f>
        <v>4.333333333333333</v>
      </c>
      <c r="H23" s="3">
        <f>AVERAGE(H20:H22)</f>
        <v>4.333333333333333</v>
      </c>
      <c r="I23" s="3">
        <f>AVERAGE(I20:I22)</f>
        <v>3</v>
      </c>
      <c r="J23" s="3">
        <f>AVERAGE(J20:J22)</f>
        <v>1</v>
      </c>
      <c r="K23" s="3">
        <f>SUM(E23:J23)</f>
        <v>22</v>
      </c>
    </row>
    <row r="25" spans="1:13" x14ac:dyDescent="0.25">
      <c r="L25" t="s">
        <v>15</v>
      </c>
      <c r="M25" s="3">
        <f>(K18+K23)/2</f>
        <v>19.5</v>
      </c>
    </row>
    <row r="26" spans="1:13" ht="15.75" thickBot="1" x14ac:dyDescent="0.3"/>
    <row r="27" spans="1:13" ht="30.75" thickBot="1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3" ht="15.75" thickBot="1" x14ac:dyDescent="0.3">
      <c r="A28" s="2" t="s">
        <v>11</v>
      </c>
      <c r="B28" s="2">
        <v>1</v>
      </c>
      <c r="C28" s="2" t="s">
        <v>16</v>
      </c>
      <c r="D28" s="2" t="s">
        <v>13</v>
      </c>
      <c r="E28" s="2">
        <v>3</v>
      </c>
      <c r="F28" s="2">
        <v>3</v>
      </c>
      <c r="G28" s="2">
        <v>3</v>
      </c>
      <c r="H28" s="2">
        <v>4</v>
      </c>
      <c r="I28" s="2">
        <v>3</v>
      </c>
      <c r="J28" s="2">
        <v>2</v>
      </c>
      <c r="K28" s="2">
        <v>18</v>
      </c>
    </row>
    <row r="29" spans="1:13" ht="15.75" thickBot="1" x14ac:dyDescent="0.3">
      <c r="A29" s="2" t="s">
        <v>11</v>
      </c>
      <c r="B29" s="2">
        <v>2</v>
      </c>
      <c r="C29" s="2" t="s">
        <v>16</v>
      </c>
      <c r="D29" s="2" t="s">
        <v>13</v>
      </c>
      <c r="E29" s="2">
        <v>3</v>
      </c>
      <c r="F29" s="2">
        <v>3</v>
      </c>
      <c r="G29" s="2">
        <v>3</v>
      </c>
      <c r="H29" s="2">
        <v>4</v>
      </c>
      <c r="I29" s="2">
        <v>2</v>
      </c>
      <c r="J29" s="2">
        <v>2</v>
      </c>
      <c r="K29" s="2">
        <v>17</v>
      </c>
    </row>
    <row r="30" spans="1:13" ht="15.75" thickBot="1" x14ac:dyDescent="0.3">
      <c r="A30" s="2" t="s">
        <v>11</v>
      </c>
      <c r="B30" s="2">
        <v>3</v>
      </c>
      <c r="C30" s="2" t="s">
        <v>16</v>
      </c>
      <c r="D30" s="2" t="s">
        <v>13</v>
      </c>
      <c r="E30" s="2">
        <v>3</v>
      </c>
      <c r="F30" s="2">
        <v>3</v>
      </c>
      <c r="G30" s="2">
        <v>3</v>
      </c>
      <c r="H30" s="2">
        <v>4</v>
      </c>
      <c r="I30" s="2">
        <v>3</v>
      </c>
      <c r="J30" s="2">
        <v>2</v>
      </c>
      <c r="K30" s="2">
        <v>18</v>
      </c>
    </row>
    <row r="31" spans="1:13" x14ac:dyDescent="0.25">
      <c r="E31" s="3">
        <f>AVERAGE(E28:E30)</f>
        <v>3</v>
      </c>
      <c r="F31" s="3">
        <f>AVERAGE(F28:F30)</f>
        <v>3</v>
      </c>
      <c r="G31" s="3">
        <f>AVERAGE(G28:G30)</f>
        <v>3</v>
      </c>
      <c r="H31" s="3">
        <f>AVERAGE(H28:H30)</f>
        <v>4</v>
      </c>
      <c r="I31" s="3">
        <f>AVERAGE(I28:I30)</f>
        <v>2.6666666666666665</v>
      </c>
      <c r="J31" s="3">
        <f>AVERAGE(J28:J30)</f>
        <v>2</v>
      </c>
      <c r="K31" s="3">
        <f>SUM(E31:J31)</f>
        <v>17.666666666666664</v>
      </c>
    </row>
    <row r="32" spans="1:13" ht="15.75" thickBot="1" x14ac:dyDescent="0.3"/>
    <row r="33" spans="1:15" ht="15.75" thickBot="1" x14ac:dyDescent="0.3">
      <c r="A33" s="2" t="s">
        <v>11</v>
      </c>
      <c r="B33" s="2">
        <v>1</v>
      </c>
      <c r="C33" s="2" t="s">
        <v>16</v>
      </c>
      <c r="D33" s="2" t="s">
        <v>14</v>
      </c>
      <c r="E33" s="2">
        <v>5</v>
      </c>
      <c r="F33" s="2">
        <v>5</v>
      </c>
      <c r="G33" s="2">
        <v>5</v>
      </c>
      <c r="H33" s="2">
        <v>5</v>
      </c>
      <c r="I33" s="2">
        <v>3</v>
      </c>
      <c r="J33" s="2">
        <v>2</v>
      </c>
      <c r="K33" s="2">
        <v>25</v>
      </c>
    </row>
    <row r="34" spans="1:15" ht="15.75" thickBot="1" x14ac:dyDescent="0.3">
      <c r="A34" s="2" t="s">
        <v>11</v>
      </c>
      <c r="B34" s="2">
        <v>2</v>
      </c>
      <c r="C34" s="2" t="s">
        <v>16</v>
      </c>
      <c r="D34" s="2" t="s">
        <v>14</v>
      </c>
      <c r="E34" s="2">
        <v>5</v>
      </c>
      <c r="F34" s="2">
        <v>5</v>
      </c>
      <c r="G34" s="2">
        <v>5</v>
      </c>
      <c r="H34" s="2">
        <v>5</v>
      </c>
      <c r="I34" s="2">
        <v>4</v>
      </c>
      <c r="J34" s="2">
        <v>1</v>
      </c>
      <c r="K34" s="2">
        <v>25</v>
      </c>
    </row>
    <row r="35" spans="1:15" ht="15.75" thickBot="1" x14ac:dyDescent="0.3">
      <c r="A35" s="2" t="s">
        <v>11</v>
      </c>
      <c r="B35" s="2">
        <v>3</v>
      </c>
      <c r="C35" s="2" t="s">
        <v>16</v>
      </c>
      <c r="D35" s="2" t="s">
        <v>14</v>
      </c>
      <c r="E35" s="2">
        <v>5</v>
      </c>
      <c r="F35" s="2">
        <v>5</v>
      </c>
      <c r="G35" s="2">
        <v>5</v>
      </c>
      <c r="H35" s="2">
        <v>5</v>
      </c>
      <c r="I35" s="2">
        <v>3</v>
      </c>
      <c r="J35" s="2">
        <v>1</v>
      </c>
      <c r="K35" s="2">
        <v>24</v>
      </c>
    </row>
    <row r="36" spans="1:15" x14ac:dyDescent="0.25">
      <c r="E36" s="3">
        <f>AVERAGE(E33:E35)</f>
        <v>5</v>
      </c>
      <c r="F36" s="3">
        <f>AVERAGE(F33:F35)</f>
        <v>5</v>
      </c>
      <c r="G36" s="3">
        <f>AVERAGE(G33:G35)</f>
        <v>5</v>
      </c>
      <c r="H36" s="3">
        <f>AVERAGE(H33:H35)</f>
        <v>5</v>
      </c>
      <c r="I36" s="3">
        <f>AVERAGE(I33:I35)</f>
        <v>3.3333333333333335</v>
      </c>
      <c r="J36" s="3">
        <f>AVERAGE(J33:J35)</f>
        <v>1.3333333333333333</v>
      </c>
      <c r="K36" s="3">
        <f>SUM(E36:J36)</f>
        <v>24.666666666666664</v>
      </c>
    </row>
    <row r="37" spans="1:15" x14ac:dyDescent="0.25">
      <c r="O37" s="3">
        <f>M38-M25</f>
        <v>1.6666666666666643</v>
      </c>
    </row>
    <row r="38" spans="1:15" x14ac:dyDescent="0.25">
      <c r="L38" t="s">
        <v>15</v>
      </c>
      <c r="M38" s="3">
        <f>(K31+K36)/2</f>
        <v>21.166666666666664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29D7-7EBA-48EB-937E-15B7BE5A8B53}">
  <dimension ref="A1:M27"/>
  <sheetViews>
    <sheetView tabSelected="1" workbookViewId="0">
      <selection activeCell="O19" sqref="O19"/>
    </sheetView>
  </sheetViews>
  <sheetFormatPr defaultRowHeight="15" x14ac:dyDescent="0.25"/>
  <cols>
    <col min="1" max="1" width="10.28515625" bestFit="1" customWidth="1"/>
    <col min="2" max="2" width="7.140625" bestFit="1" customWidth="1"/>
    <col min="3" max="3" width="9.85546875" customWidth="1"/>
    <col min="4" max="4" width="6.140625" bestFit="1" customWidth="1"/>
    <col min="5" max="5" width="9.85546875" bestFit="1" customWidth="1"/>
    <col min="6" max="10" width="10.85546875" bestFit="1" customWidth="1"/>
    <col min="11" max="11" width="5.5703125" bestFit="1" customWidth="1"/>
    <col min="12" max="12" width="14.85546875" bestFit="1" customWidth="1"/>
    <col min="13" max="13" width="5.5703125" bestFit="1" customWidth="1"/>
  </cols>
  <sheetData>
    <row r="1" spans="1:13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ht="15.75" thickBot="1" x14ac:dyDescent="0.3">
      <c r="A2" s="2" t="s">
        <v>18</v>
      </c>
      <c r="B2" s="2">
        <v>1</v>
      </c>
      <c r="C2" s="2" t="s">
        <v>12</v>
      </c>
      <c r="D2" s="2" t="s">
        <v>13</v>
      </c>
      <c r="E2" s="2">
        <v>4</v>
      </c>
      <c r="F2" s="2">
        <v>3</v>
      </c>
      <c r="G2" s="2">
        <v>3</v>
      </c>
      <c r="H2" s="2">
        <v>4</v>
      </c>
      <c r="I2" s="2">
        <v>2</v>
      </c>
      <c r="J2" s="2">
        <v>3</v>
      </c>
      <c r="K2" s="2">
        <v>19</v>
      </c>
    </row>
    <row r="3" spans="1:13" ht="15.75" thickBot="1" x14ac:dyDescent="0.3">
      <c r="A3" s="2" t="s">
        <v>18</v>
      </c>
      <c r="B3" s="2">
        <v>2</v>
      </c>
      <c r="C3" s="2" t="s">
        <v>12</v>
      </c>
      <c r="D3" s="2" t="s">
        <v>13</v>
      </c>
      <c r="E3" s="2">
        <v>4</v>
      </c>
      <c r="F3" s="2">
        <v>3</v>
      </c>
      <c r="G3" s="2">
        <v>3</v>
      </c>
      <c r="H3" s="2">
        <v>4</v>
      </c>
      <c r="I3" s="2">
        <v>2</v>
      </c>
      <c r="J3" s="2">
        <v>2</v>
      </c>
      <c r="K3" s="2">
        <v>18</v>
      </c>
    </row>
    <row r="4" spans="1:13" ht="15.75" thickBot="1" x14ac:dyDescent="0.3">
      <c r="A4" s="2" t="s">
        <v>18</v>
      </c>
      <c r="B4" s="2">
        <v>3</v>
      </c>
      <c r="C4" s="2" t="s">
        <v>12</v>
      </c>
      <c r="D4" s="2" t="s">
        <v>13</v>
      </c>
      <c r="E4" s="2">
        <v>4</v>
      </c>
      <c r="F4" s="2">
        <v>3</v>
      </c>
      <c r="G4" s="2">
        <v>3</v>
      </c>
      <c r="H4" s="2">
        <v>4</v>
      </c>
      <c r="I4" s="2">
        <v>2</v>
      </c>
      <c r="J4" s="2">
        <v>2</v>
      </c>
      <c r="K4" s="2">
        <v>18</v>
      </c>
    </row>
    <row r="5" spans="1:13" x14ac:dyDescent="0.25">
      <c r="E5" s="3">
        <f>AVERAGE(E2:E4)</f>
        <v>4</v>
      </c>
      <c r="F5" s="3">
        <f>AVERAGE(F2:F4)</f>
        <v>3</v>
      </c>
      <c r="G5" s="3">
        <f>AVERAGE(G2:G4)</f>
        <v>3</v>
      </c>
      <c r="H5" s="3">
        <f>AVERAGE(H2:H4)</f>
        <v>4</v>
      </c>
      <c r="I5" s="3">
        <f>AVERAGE(I2:I4)</f>
        <v>2</v>
      </c>
      <c r="J5" s="3">
        <f>AVERAGE(J2:J4)</f>
        <v>2.3333333333333335</v>
      </c>
      <c r="K5" s="3">
        <f>SUM(E5:J5)</f>
        <v>18.333333333333332</v>
      </c>
    </row>
    <row r="6" spans="1:13" ht="15.75" thickBot="1" x14ac:dyDescent="0.3"/>
    <row r="7" spans="1:13" ht="15.75" thickBot="1" x14ac:dyDescent="0.3">
      <c r="A7" s="2" t="s">
        <v>18</v>
      </c>
      <c r="B7" s="2">
        <v>1</v>
      </c>
      <c r="C7" s="2" t="s">
        <v>12</v>
      </c>
      <c r="D7" s="2" t="s">
        <v>14</v>
      </c>
      <c r="E7" s="2">
        <v>4</v>
      </c>
      <c r="F7" s="2">
        <v>5</v>
      </c>
      <c r="G7" s="2">
        <v>3</v>
      </c>
      <c r="H7" s="2">
        <v>5</v>
      </c>
      <c r="I7" s="2">
        <v>2</v>
      </c>
      <c r="J7" s="2">
        <v>2</v>
      </c>
      <c r="K7" s="2">
        <v>21</v>
      </c>
    </row>
    <row r="8" spans="1:13" ht="15.75" thickBot="1" x14ac:dyDescent="0.3">
      <c r="A8" s="2" t="s">
        <v>18</v>
      </c>
      <c r="B8" s="2">
        <v>2</v>
      </c>
      <c r="C8" s="2" t="s">
        <v>12</v>
      </c>
      <c r="D8" s="2" t="s">
        <v>14</v>
      </c>
      <c r="E8" s="2">
        <v>4</v>
      </c>
      <c r="F8" s="2">
        <v>4</v>
      </c>
      <c r="G8" s="2">
        <v>3</v>
      </c>
      <c r="H8" s="2">
        <v>4</v>
      </c>
      <c r="I8" s="2">
        <v>3</v>
      </c>
      <c r="J8" s="2">
        <v>2</v>
      </c>
      <c r="K8" s="2">
        <v>20</v>
      </c>
    </row>
    <row r="9" spans="1:13" ht="15.75" thickBot="1" x14ac:dyDescent="0.3">
      <c r="A9" s="2" t="s">
        <v>18</v>
      </c>
      <c r="B9" s="2">
        <v>3</v>
      </c>
      <c r="C9" s="2" t="s">
        <v>12</v>
      </c>
      <c r="D9" s="2" t="s">
        <v>14</v>
      </c>
      <c r="E9" s="2">
        <v>4</v>
      </c>
      <c r="F9" s="2">
        <v>4</v>
      </c>
      <c r="G9" s="2">
        <v>5</v>
      </c>
      <c r="H9" s="2">
        <v>4</v>
      </c>
      <c r="I9" s="2">
        <v>3</v>
      </c>
      <c r="J9" s="2">
        <v>3</v>
      </c>
      <c r="K9" s="2">
        <v>23</v>
      </c>
    </row>
    <row r="10" spans="1:13" x14ac:dyDescent="0.25">
      <c r="E10" s="3">
        <f>AVERAGE(E7:E9)</f>
        <v>4</v>
      </c>
      <c r="F10" s="3">
        <f>AVERAGE(F7:F9)</f>
        <v>4.333333333333333</v>
      </c>
      <c r="G10" s="3">
        <f>AVERAGE(G7:G9)</f>
        <v>3.6666666666666665</v>
      </c>
      <c r="H10" s="3">
        <f>AVERAGE(H7:H9)</f>
        <v>4.333333333333333</v>
      </c>
      <c r="I10" s="3">
        <f>AVERAGE(I7:I9)</f>
        <v>2.6666666666666665</v>
      </c>
      <c r="J10" s="3">
        <f>AVERAGE(J7:J9)</f>
        <v>2.3333333333333335</v>
      </c>
      <c r="K10" s="3">
        <f>SUM(E10:J10)</f>
        <v>21.333333333333332</v>
      </c>
    </row>
    <row r="12" spans="1:13" x14ac:dyDescent="0.25">
      <c r="L12" t="s">
        <v>15</v>
      </c>
      <c r="M12" s="3">
        <f>(K5+K10)/2</f>
        <v>19.833333333333332</v>
      </c>
    </row>
    <row r="13" spans="1:13" ht="15.75" thickBot="1" x14ac:dyDescent="0.3"/>
    <row r="14" spans="1:13" ht="30.75" thickBot="1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</row>
    <row r="15" spans="1:13" ht="15.75" thickBot="1" x14ac:dyDescent="0.3">
      <c r="A15" s="2" t="s">
        <v>18</v>
      </c>
      <c r="B15" s="2">
        <v>1</v>
      </c>
      <c r="C15" s="2" t="s">
        <v>16</v>
      </c>
      <c r="D15" s="2" t="s">
        <v>13</v>
      </c>
      <c r="E15" s="2">
        <v>4</v>
      </c>
      <c r="F15" s="2">
        <v>4</v>
      </c>
      <c r="G15" s="2">
        <v>4</v>
      </c>
      <c r="H15" s="2">
        <v>4</v>
      </c>
      <c r="I15" s="2">
        <v>3</v>
      </c>
      <c r="J15" s="2">
        <v>3</v>
      </c>
      <c r="K15" s="2">
        <v>22</v>
      </c>
    </row>
    <row r="16" spans="1:13" ht="15.75" thickBot="1" x14ac:dyDescent="0.3">
      <c r="A16" s="2" t="s">
        <v>18</v>
      </c>
      <c r="B16" s="2">
        <v>2</v>
      </c>
      <c r="C16" s="2" t="s">
        <v>16</v>
      </c>
      <c r="D16" s="2" t="s">
        <v>13</v>
      </c>
      <c r="E16" s="2">
        <v>4</v>
      </c>
      <c r="F16" s="2">
        <v>3</v>
      </c>
      <c r="G16" s="2">
        <v>4</v>
      </c>
      <c r="H16" s="2">
        <v>4</v>
      </c>
      <c r="I16" s="2">
        <v>2</v>
      </c>
      <c r="J16" s="2">
        <v>3</v>
      </c>
      <c r="K16" s="2">
        <v>20</v>
      </c>
    </row>
    <row r="17" spans="1:13" ht="15.75" thickBot="1" x14ac:dyDescent="0.3">
      <c r="A17" s="2" t="s">
        <v>18</v>
      </c>
      <c r="B17" s="2">
        <v>3</v>
      </c>
      <c r="C17" s="2" t="s">
        <v>16</v>
      </c>
      <c r="D17" s="2" t="s">
        <v>13</v>
      </c>
      <c r="E17" s="2">
        <v>4</v>
      </c>
      <c r="F17" s="2">
        <v>3</v>
      </c>
      <c r="G17" s="2">
        <v>4</v>
      </c>
      <c r="H17" s="2">
        <v>4</v>
      </c>
      <c r="I17" s="2">
        <v>2</v>
      </c>
      <c r="J17" s="2">
        <v>2</v>
      </c>
      <c r="K17" s="2">
        <v>19</v>
      </c>
    </row>
    <row r="18" spans="1:13" x14ac:dyDescent="0.25">
      <c r="E18" s="3">
        <f>AVERAGE(E15:E17)</f>
        <v>4</v>
      </c>
      <c r="F18" s="3">
        <f>AVERAGE(F15:F17)</f>
        <v>3.3333333333333335</v>
      </c>
      <c r="G18" s="3">
        <f>AVERAGE(G15:G17)</f>
        <v>4</v>
      </c>
      <c r="H18" s="3">
        <f>AVERAGE(H15:H17)</f>
        <v>4</v>
      </c>
      <c r="I18" s="3">
        <f>AVERAGE(I15:I17)</f>
        <v>2.3333333333333335</v>
      </c>
      <c r="J18" s="3">
        <f>AVERAGE(J15:J17)</f>
        <v>2.6666666666666665</v>
      </c>
      <c r="K18" s="3">
        <f>SUM(E18:J18)</f>
        <v>20.333333333333336</v>
      </c>
    </row>
    <row r="19" spans="1:13" ht="15.75" thickBot="1" x14ac:dyDescent="0.3"/>
    <row r="20" spans="1:13" ht="15.75" thickBot="1" x14ac:dyDescent="0.3">
      <c r="A20" s="2" t="s">
        <v>18</v>
      </c>
      <c r="B20" s="2">
        <v>1</v>
      </c>
      <c r="C20" s="2" t="s">
        <v>16</v>
      </c>
      <c r="D20" s="2" t="s">
        <v>14</v>
      </c>
      <c r="E20" s="2">
        <v>4</v>
      </c>
      <c r="F20" s="2">
        <v>4</v>
      </c>
      <c r="G20" s="2">
        <v>5</v>
      </c>
      <c r="H20" s="2">
        <v>4</v>
      </c>
      <c r="I20" s="2">
        <v>3</v>
      </c>
      <c r="J20" s="2">
        <v>2</v>
      </c>
      <c r="K20" s="2">
        <v>22</v>
      </c>
    </row>
    <row r="21" spans="1:13" ht="15.75" thickBot="1" x14ac:dyDescent="0.3">
      <c r="A21" s="2" t="s">
        <v>18</v>
      </c>
      <c r="B21" s="2">
        <v>2</v>
      </c>
      <c r="C21" s="2" t="s">
        <v>16</v>
      </c>
      <c r="D21" s="2" t="s">
        <v>14</v>
      </c>
      <c r="E21" s="2">
        <v>3</v>
      </c>
      <c r="F21" s="2">
        <v>5</v>
      </c>
      <c r="G21" s="2">
        <v>5</v>
      </c>
      <c r="H21" s="2">
        <v>5</v>
      </c>
      <c r="I21" s="2">
        <v>3</v>
      </c>
      <c r="J21" s="2">
        <v>4</v>
      </c>
      <c r="K21" s="2">
        <v>25</v>
      </c>
    </row>
    <row r="22" spans="1:13" ht="15.75" thickBot="1" x14ac:dyDescent="0.3">
      <c r="A22" s="2" t="s">
        <v>18</v>
      </c>
      <c r="B22" s="2">
        <v>3</v>
      </c>
      <c r="C22" s="2" t="s">
        <v>16</v>
      </c>
      <c r="D22" s="2" t="s">
        <v>14</v>
      </c>
      <c r="E22" s="2">
        <v>4</v>
      </c>
      <c r="F22" s="2">
        <v>4</v>
      </c>
      <c r="G22" s="2">
        <v>5</v>
      </c>
      <c r="H22" s="2">
        <v>4</v>
      </c>
      <c r="I22" s="2">
        <v>3</v>
      </c>
      <c r="J22" s="2">
        <v>2</v>
      </c>
      <c r="K22" s="2">
        <v>22</v>
      </c>
    </row>
    <row r="23" spans="1:13" x14ac:dyDescent="0.25">
      <c r="E23" s="3">
        <f>AVERAGE(E20:E22)</f>
        <v>3.6666666666666665</v>
      </c>
      <c r="F23" s="3">
        <f>AVERAGE(F20:F22)</f>
        <v>4.333333333333333</v>
      </c>
      <c r="G23" s="3">
        <f>AVERAGE(G20:G22)</f>
        <v>5</v>
      </c>
      <c r="H23" s="3">
        <f>AVERAGE(H20:H22)</f>
        <v>4.333333333333333</v>
      </c>
      <c r="I23" s="3">
        <f>AVERAGE(I20:I22)</f>
        <v>3</v>
      </c>
      <c r="J23" s="3">
        <f>AVERAGE(J20:J22)</f>
        <v>2.6666666666666665</v>
      </c>
      <c r="K23" s="3">
        <f>SUM(E23:J23)</f>
        <v>23</v>
      </c>
    </row>
    <row r="25" spans="1:13" x14ac:dyDescent="0.25">
      <c r="L25" t="s">
        <v>15</v>
      </c>
      <c r="M25" s="3">
        <f>(K18+K23)/2</f>
        <v>21.666666666666668</v>
      </c>
    </row>
    <row r="27" spans="1:13" x14ac:dyDescent="0.25">
      <c r="M2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65F10B7F80594B8A9F81F66742701E" ma:contentTypeVersion="8" ma:contentTypeDescription="Create a new document." ma:contentTypeScope="" ma:versionID="aefb3758fc152d4724e46b6324be38fc">
  <xsd:schema xmlns:xsd="http://www.w3.org/2001/XMLSchema" xmlns:xs="http://www.w3.org/2001/XMLSchema" xmlns:p="http://schemas.microsoft.com/office/2006/metadata/properties" xmlns:ns3="60ce1e1a-3fa5-4136-b143-4a66d0d8b25a" targetNamespace="http://schemas.microsoft.com/office/2006/metadata/properties" ma:root="true" ma:fieldsID="8d044827567d57a65d7f9efb37eed34d" ns3:_="">
    <xsd:import namespace="60ce1e1a-3fa5-4136-b143-4a66d0d8b25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e1e1a-3fa5-4136-b143-4a66d0d8b25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ce1e1a-3fa5-4136-b143-4a66d0d8b25a" xsi:nil="true"/>
  </documentManagement>
</p:properties>
</file>

<file path=customXml/itemProps1.xml><?xml version="1.0" encoding="utf-8"?>
<ds:datastoreItem xmlns:ds="http://schemas.openxmlformats.org/officeDocument/2006/customXml" ds:itemID="{34A2B1B8-204C-4E0F-A564-96ED27206D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e1e1a-3fa5-4136-b143-4a66d0d8b2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14447-2C2D-44B5-8BBC-E838783191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17D7E1-4D7A-43BC-9356-F7682B03B598}">
  <ds:schemaRefs>
    <ds:schemaRef ds:uri="http://schemas.openxmlformats.org/package/2006/metadata/core-properties"/>
    <ds:schemaRef ds:uri="60ce1e1a-3fa5-4136-b143-4a66d0d8b25a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 1</vt:lpstr>
      <vt:lpstr>Prompt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Boon Long</dc:creator>
  <cp:lastModifiedBy>OH Boon Long</cp:lastModifiedBy>
  <dcterms:created xsi:type="dcterms:W3CDTF">2026-03-22T13:41:00Z</dcterms:created>
  <dcterms:modified xsi:type="dcterms:W3CDTF">2026-03-22T16:32:50Z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0x010100EF65F10B7F80594B8A9F81F66742701E</vt:lpwstr>
  </property>
</Properties>
</file>